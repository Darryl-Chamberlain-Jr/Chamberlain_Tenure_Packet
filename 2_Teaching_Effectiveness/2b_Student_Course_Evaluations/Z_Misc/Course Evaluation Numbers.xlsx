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ham\Documents\GitHub\Chamberlain_Tenure_Packet\2_Teaching_Effectiveness\2b_Student_Course_Evaluations\Z_Misc\"/>
    </mc:Choice>
  </mc:AlternateContent>
  <xr:revisionPtr revIDLastSave="0" documentId="13_ncr:1_{8A26EF7E-591A-4ABB-831C-E9A1C4041565}" xr6:coauthVersionLast="47" xr6:coauthVersionMax="47" xr10:uidLastSave="{00000000-0000-0000-0000-000000000000}"/>
  <bookViews>
    <workbookView xWindow="8475" yWindow="1920" windowWidth="17505" windowHeight="17655" xr2:uid="{2882075C-5BCF-BB48-99E2-FB2C0697CBA8}"/>
  </bookViews>
  <sheets>
    <sheet name="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J42" i="1"/>
  <c r="I42" i="1"/>
  <c r="E42" i="1"/>
  <c r="F42" i="1" s="1"/>
  <c r="D42" i="1"/>
  <c r="B18" i="1"/>
  <c r="B26" i="1" s="1"/>
  <c r="B34" i="1" s="1"/>
  <c r="B11" i="1"/>
  <c r="B19" i="1" s="1"/>
  <c r="B27" i="1" s="1"/>
  <c r="B35" i="1" s="1"/>
  <c r="B12" i="1"/>
  <c r="B20" i="1" s="1"/>
  <c r="B28" i="1" s="1"/>
  <c r="B36" i="1" s="1"/>
  <c r="B13" i="1"/>
  <c r="B21" i="1" s="1"/>
  <c r="B29" i="1" s="1"/>
  <c r="B37" i="1" s="1"/>
  <c r="B14" i="1"/>
  <c r="B22" i="1" s="1"/>
  <c r="B30" i="1" s="1"/>
  <c r="B38" i="1" s="1"/>
  <c r="B15" i="1"/>
  <c r="B23" i="1" s="1"/>
  <c r="B31" i="1" s="1"/>
  <c r="B39" i="1" s="1"/>
  <c r="B16" i="1"/>
  <c r="B24" i="1" s="1"/>
  <c r="B32" i="1" s="1"/>
  <c r="B40" i="1" s="1"/>
  <c r="B17" i="1"/>
  <c r="B25" i="1" s="1"/>
  <c r="B33" i="1" s="1"/>
  <c r="B41" i="1" s="1"/>
  <c r="B10" i="1"/>
</calcChain>
</file>

<file path=xl/sharedStrings.xml><?xml version="1.0" encoding="utf-8"?>
<sst xmlns="http://schemas.openxmlformats.org/spreadsheetml/2006/main" count="97" uniqueCount="25">
  <si>
    <t>Term</t>
  </si>
  <si>
    <t>Course</t>
  </si>
  <si>
    <t>Instructor Experience Mean</t>
  </si>
  <si>
    <t>Insructor Experience College</t>
  </si>
  <si>
    <t>Instructor Experience Campus</t>
  </si>
  <si>
    <t>Year</t>
  </si>
  <si>
    <t>September</t>
  </si>
  <si>
    <t>MATH 143</t>
  </si>
  <si>
    <t>October</t>
  </si>
  <si>
    <t>January</t>
  </si>
  <si>
    <t>MATH 111</t>
  </si>
  <si>
    <t>RELEASE</t>
  </si>
  <si>
    <t>March</t>
  </si>
  <si>
    <t>August</t>
  </si>
  <si>
    <t>MATH 106</t>
  </si>
  <si>
    <t>CSCI 251</t>
  </si>
  <si>
    <t>MATH 502</t>
  </si>
  <si>
    <t>STAT 412</t>
  </si>
  <si>
    <t>DSCI 201</t>
  </si>
  <si>
    <t>Positive Comments to Instructor</t>
  </si>
  <si>
    <t>Neutral Comments to Instructor</t>
  </si>
  <si>
    <t>Negative Comments to Instructor</t>
  </si>
  <si>
    <t>Number of Students</t>
  </si>
  <si>
    <t>Number of Respondents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</si>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</sst>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/>
    <xf numFmtId="0" fontId="0" fillId="2" borderId="5" xfId="0" applyFill="1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2" borderId="4" xfId="0" applyFill="1" applyBorder="1"/>
    <xf numFmtId="0" fontId="0" fillId="2" borderId="6" xfId="0" applyFill="1" applyBorder="1"/>
    <xf numFmtId="2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C011-51AB-8845-930B-A875FF6001B0}">
  <dimension ref="A1:K42"/>
  <sheetViews>
    <sheetView tabSelected="1" topLeftCell="A16" workbookViewId="0">
      <selection activeCell="I51" sqref="I51"/>
    </sheetView>
  </sheetViews>
  <sheetFormatPr defaultColWidth="11" defaultRowHeight="15.75" x14ac:dyDescent="0.25"/>
  <cols>
    <col min="5" max="5" width="11.5" customWidth="1"/>
    <col min="6" max="8" width="10.125" customWidth="1"/>
  </cols>
  <sheetData>
    <row r="1" spans="1:11" ht="50.1" customHeight="1" thickBot="1" x14ac:dyDescent="0.3">
      <c r="A1" s="1" t="s">
        <v>0</v>
      </c>
      <c r="B1" s="1" t="s">
        <v>5</v>
      </c>
      <c r="C1" s="1" t="s">
        <v>1</v>
      </c>
      <c r="D1" s="1" t="s">
        <v>22</v>
      </c>
      <c r="E1" s="1" t="s">
        <v>23</v>
      </c>
      <c r="F1" s="1" t="s">
        <v>2</v>
      </c>
      <c r="G1" s="1" t="s">
        <v>3</v>
      </c>
      <c r="H1" s="1" t="s">
        <v>4</v>
      </c>
      <c r="I1" s="1" t="s">
        <v>19</v>
      </c>
      <c r="J1" s="1" t="s">
        <v>20</v>
      </c>
      <c r="K1" s="1" t="s">
        <v>21</v>
      </c>
    </row>
    <row r="2" spans="1:11" x14ac:dyDescent="0.25">
      <c r="A2" s="2" t="s">
        <v>6</v>
      </c>
      <c r="B2" s="3">
        <v>2021</v>
      </c>
      <c r="C2" s="3" t="s">
        <v>7</v>
      </c>
      <c r="D2" s="3">
        <v>17</v>
      </c>
      <c r="E2" s="3">
        <v>12</v>
      </c>
      <c r="F2" s="3">
        <v>4.4800000000000004</v>
      </c>
      <c r="G2" s="3">
        <v>4.55</v>
      </c>
      <c r="H2" s="4">
        <v>4.53</v>
      </c>
      <c r="I2" s="2">
        <v>3</v>
      </c>
      <c r="J2" s="3">
        <v>1</v>
      </c>
      <c r="K2" s="4">
        <v>0</v>
      </c>
    </row>
    <row r="3" spans="1:11" x14ac:dyDescent="0.25">
      <c r="A3" s="5" t="s">
        <v>6</v>
      </c>
      <c r="B3">
        <v>2021</v>
      </c>
      <c r="C3" t="s">
        <v>11</v>
      </c>
      <c r="D3" s="11"/>
      <c r="E3" s="11"/>
      <c r="F3" s="11"/>
      <c r="G3" s="11"/>
      <c r="H3" s="12"/>
      <c r="I3" s="15"/>
      <c r="J3" s="11"/>
      <c r="K3" s="12"/>
    </row>
    <row r="4" spans="1:11" x14ac:dyDescent="0.25">
      <c r="A4" s="5" t="s">
        <v>8</v>
      </c>
      <c r="B4">
        <v>2021</v>
      </c>
      <c r="C4" t="s">
        <v>10</v>
      </c>
      <c r="D4">
        <v>10</v>
      </c>
      <c r="E4">
        <v>9</v>
      </c>
      <c r="F4">
        <v>4.8099999999999996</v>
      </c>
      <c r="G4" s="13" t="s">
        <v>24</v>
      </c>
      <c r="H4" s="14" t="s">
        <v>24</v>
      </c>
      <c r="I4" s="5">
        <v>4</v>
      </c>
      <c r="J4">
        <v>0</v>
      </c>
      <c r="K4" s="6">
        <v>0</v>
      </c>
    </row>
    <row r="5" spans="1:11" x14ac:dyDescent="0.25">
      <c r="A5" s="5" t="s">
        <v>8</v>
      </c>
      <c r="B5">
        <v>2021</v>
      </c>
      <c r="C5" t="s">
        <v>7</v>
      </c>
      <c r="D5">
        <v>25</v>
      </c>
      <c r="E5">
        <v>19</v>
      </c>
      <c r="F5">
        <v>4.59</v>
      </c>
      <c r="G5" s="13" t="s">
        <v>24</v>
      </c>
      <c r="H5" s="14" t="s">
        <v>24</v>
      </c>
      <c r="I5" s="5">
        <v>6</v>
      </c>
      <c r="J5">
        <v>0</v>
      </c>
      <c r="K5" s="6">
        <v>0</v>
      </c>
    </row>
    <row r="6" spans="1:11" x14ac:dyDescent="0.25">
      <c r="A6" s="5" t="s">
        <v>9</v>
      </c>
      <c r="B6">
        <v>2022</v>
      </c>
      <c r="C6" t="s">
        <v>10</v>
      </c>
      <c r="D6">
        <v>29</v>
      </c>
      <c r="E6">
        <v>16</v>
      </c>
      <c r="F6">
        <v>4.43</v>
      </c>
      <c r="G6">
        <v>4.5199999999999996</v>
      </c>
      <c r="H6" s="6">
        <v>4.51</v>
      </c>
      <c r="I6" s="5">
        <v>2</v>
      </c>
      <c r="J6">
        <v>0</v>
      </c>
      <c r="K6" s="6">
        <v>0</v>
      </c>
    </row>
    <row r="7" spans="1:11" x14ac:dyDescent="0.25">
      <c r="A7" s="5" t="s">
        <v>9</v>
      </c>
      <c r="B7">
        <v>2022</v>
      </c>
      <c r="C7" t="s">
        <v>10</v>
      </c>
      <c r="D7">
        <v>32</v>
      </c>
      <c r="E7">
        <v>20</v>
      </c>
      <c r="F7">
        <v>4.6100000000000003</v>
      </c>
      <c r="G7">
        <v>4.5199999999999996</v>
      </c>
      <c r="H7" s="6">
        <v>4.51</v>
      </c>
      <c r="I7" s="5">
        <v>6</v>
      </c>
      <c r="J7">
        <v>0</v>
      </c>
      <c r="K7" s="6">
        <v>0</v>
      </c>
    </row>
    <row r="8" spans="1:11" x14ac:dyDescent="0.25">
      <c r="A8" s="5" t="s">
        <v>12</v>
      </c>
      <c r="B8">
        <v>2022</v>
      </c>
      <c r="C8" t="s">
        <v>11</v>
      </c>
      <c r="D8" s="11"/>
      <c r="E8" s="11"/>
      <c r="F8" s="11"/>
      <c r="G8" s="11"/>
      <c r="H8" s="12"/>
      <c r="I8" s="15"/>
      <c r="J8" s="11"/>
      <c r="K8" s="12"/>
    </row>
    <row r="9" spans="1:11" ht="16.5" thickBot="1" x14ac:dyDescent="0.3">
      <c r="A9" s="8" t="s">
        <v>12</v>
      </c>
      <c r="B9" s="7">
        <v>2022</v>
      </c>
      <c r="C9" s="7" t="s">
        <v>11</v>
      </c>
      <c r="D9" s="9"/>
      <c r="E9" s="9"/>
      <c r="F9" s="9"/>
      <c r="G9" s="9"/>
      <c r="H9" s="10"/>
      <c r="I9" s="16"/>
      <c r="J9" s="9"/>
      <c r="K9" s="10"/>
    </row>
    <row r="10" spans="1:11" x14ac:dyDescent="0.25">
      <c r="A10" s="2" t="s">
        <v>13</v>
      </c>
      <c r="B10" s="3">
        <f t="shared" ref="B10:B41" si="0">B2+1</f>
        <v>2022</v>
      </c>
      <c r="C10" s="3" t="s">
        <v>14</v>
      </c>
      <c r="D10" s="3">
        <v>34</v>
      </c>
      <c r="E10" s="3">
        <v>25</v>
      </c>
      <c r="F10" s="3">
        <v>4.67</v>
      </c>
      <c r="G10" s="3">
        <v>4.49</v>
      </c>
      <c r="H10" s="4">
        <v>4.49</v>
      </c>
      <c r="I10" s="3">
        <v>8</v>
      </c>
      <c r="J10" s="3">
        <v>0</v>
      </c>
      <c r="K10" s="4">
        <v>0</v>
      </c>
    </row>
    <row r="11" spans="1:11" x14ac:dyDescent="0.25">
      <c r="A11" s="5" t="s">
        <v>13</v>
      </c>
      <c r="B11">
        <f t="shared" si="0"/>
        <v>2022</v>
      </c>
      <c r="C11" t="s">
        <v>11</v>
      </c>
      <c r="D11" s="11"/>
      <c r="E11" s="11"/>
      <c r="F11" s="11"/>
      <c r="G11" s="11"/>
      <c r="H11" s="12"/>
      <c r="I11" s="11"/>
      <c r="J11" s="11"/>
      <c r="K11" s="12"/>
    </row>
    <row r="12" spans="1:11" x14ac:dyDescent="0.25">
      <c r="A12" s="5" t="s">
        <v>8</v>
      </c>
      <c r="B12">
        <f t="shared" si="0"/>
        <v>2022</v>
      </c>
      <c r="C12" t="s">
        <v>10</v>
      </c>
      <c r="D12">
        <v>20</v>
      </c>
      <c r="E12">
        <v>14</v>
      </c>
      <c r="F12">
        <v>4.91</v>
      </c>
      <c r="G12">
        <v>4.75</v>
      </c>
      <c r="H12" s="6">
        <v>4.5599999999999996</v>
      </c>
      <c r="I12">
        <v>4</v>
      </c>
      <c r="J12">
        <v>0</v>
      </c>
      <c r="K12" s="6">
        <v>0</v>
      </c>
    </row>
    <row r="13" spans="1:11" x14ac:dyDescent="0.25">
      <c r="A13" s="5" t="s">
        <v>8</v>
      </c>
      <c r="B13">
        <f t="shared" si="0"/>
        <v>2022</v>
      </c>
      <c r="C13" t="s">
        <v>11</v>
      </c>
      <c r="D13" s="11"/>
      <c r="E13" s="11"/>
      <c r="F13" s="11"/>
      <c r="G13" s="11"/>
      <c r="H13" s="12"/>
      <c r="I13" s="11"/>
      <c r="J13" s="11"/>
      <c r="K13" s="12"/>
    </row>
    <row r="14" spans="1:11" x14ac:dyDescent="0.25">
      <c r="A14" s="5" t="s">
        <v>9</v>
      </c>
      <c r="B14">
        <f t="shared" si="0"/>
        <v>2023</v>
      </c>
      <c r="C14" t="s">
        <v>10</v>
      </c>
      <c r="D14">
        <v>34</v>
      </c>
      <c r="E14">
        <v>19</v>
      </c>
      <c r="F14">
        <v>4.6100000000000003</v>
      </c>
      <c r="G14">
        <v>4.46</v>
      </c>
      <c r="H14" s="6">
        <v>4.49</v>
      </c>
      <c r="I14">
        <v>5</v>
      </c>
      <c r="J14">
        <v>1</v>
      </c>
      <c r="K14" s="6">
        <v>0</v>
      </c>
    </row>
    <row r="15" spans="1:11" x14ac:dyDescent="0.25">
      <c r="A15" s="5" t="s">
        <v>9</v>
      </c>
      <c r="B15">
        <f t="shared" si="0"/>
        <v>2023</v>
      </c>
      <c r="C15" t="s">
        <v>11</v>
      </c>
      <c r="D15" s="11"/>
      <c r="E15" s="11"/>
      <c r="F15" s="11"/>
      <c r="G15" s="11"/>
      <c r="H15" s="12"/>
      <c r="I15" s="11"/>
      <c r="J15" s="11"/>
      <c r="K15" s="12"/>
    </row>
    <row r="16" spans="1:11" x14ac:dyDescent="0.25">
      <c r="A16" s="5" t="s">
        <v>12</v>
      </c>
      <c r="B16">
        <f t="shared" si="0"/>
        <v>2023</v>
      </c>
      <c r="C16" t="s">
        <v>10</v>
      </c>
      <c r="D16">
        <v>35</v>
      </c>
      <c r="E16">
        <v>21</v>
      </c>
      <c r="F16">
        <v>4.75</v>
      </c>
      <c r="G16">
        <v>4.46</v>
      </c>
      <c r="H16" s="6">
        <v>4.49</v>
      </c>
      <c r="I16">
        <v>7</v>
      </c>
      <c r="J16">
        <v>0</v>
      </c>
      <c r="K16" s="6">
        <v>0</v>
      </c>
    </row>
    <row r="17" spans="1:11" ht="16.5" thickBot="1" x14ac:dyDescent="0.3">
      <c r="A17" s="8" t="s">
        <v>12</v>
      </c>
      <c r="B17" s="7">
        <f t="shared" si="0"/>
        <v>2023</v>
      </c>
      <c r="C17" s="7" t="s">
        <v>11</v>
      </c>
      <c r="D17" s="9"/>
      <c r="E17" s="9"/>
      <c r="F17" s="9"/>
      <c r="G17" s="9"/>
      <c r="H17" s="10"/>
      <c r="I17" s="9"/>
      <c r="J17" s="9"/>
      <c r="K17" s="10"/>
    </row>
    <row r="18" spans="1:11" x14ac:dyDescent="0.25">
      <c r="A18" s="2" t="s">
        <v>13</v>
      </c>
      <c r="B18" s="3">
        <f t="shared" si="0"/>
        <v>2023</v>
      </c>
      <c r="C18" s="3" t="s">
        <v>10</v>
      </c>
      <c r="D18" s="3">
        <v>24</v>
      </c>
      <c r="E18" s="3">
        <v>16</v>
      </c>
      <c r="F18" s="3">
        <v>4.84</v>
      </c>
      <c r="G18" s="3">
        <v>4.5199999999999996</v>
      </c>
      <c r="H18" s="4">
        <v>4.5199999999999996</v>
      </c>
      <c r="I18" s="3">
        <v>7</v>
      </c>
      <c r="J18" s="3">
        <v>0</v>
      </c>
      <c r="K18" s="4">
        <v>0</v>
      </c>
    </row>
    <row r="19" spans="1:11" x14ac:dyDescent="0.25">
      <c r="A19" s="5" t="s">
        <v>13</v>
      </c>
      <c r="B19">
        <f t="shared" si="0"/>
        <v>2023</v>
      </c>
      <c r="C19" t="s">
        <v>11</v>
      </c>
      <c r="D19" s="11"/>
      <c r="E19" s="11"/>
      <c r="F19" s="11"/>
      <c r="G19" s="11"/>
      <c r="H19" s="12"/>
      <c r="I19" s="11"/>
      <c r="J19" s="11"/>
      <c r="K19" s="12"/>
    </row>
    <row r="20" spans="1:11" x14ac:dyDescent="0.25">
      <c r="A20" s="5" t="s">
        <v>8</v>
      </c>
      <c r="B20">
        <f t="shared" si="0"/>
        <v>2023</v>
      </c>
      <c r="C20" t="s">
        <v>10</v>
      </c>
      <c r="D20">
        <v>29</v>
      </c>
      <c r="E20">
        <v>14</v>
      </c>
      <c r="F20">
        <v>4.63</v>
      </c>
      <c r="G20">
        <v>4.43</v>
      </c>
      <c r="H20" s="6">
        <v>4.47</v>
      </c>
      <c r="I20">
        <v>4</v>
      </c>
      <c r="J20">
        <v>0</v>
      </c>
      <c r="K20" s="6">
        <v>0</v>
      </c>
    </row>
    <row r="21" spans="1:11" x14ac:dyDescent="0.25">
      <c r="A21" s="5" t="s">
        <v>8</v>
      </c>
      <c r="B21">
        <f t="shared" si="0"/>
        <v>2023</v>
      </c>
      <c r="C21" t="s">
        <v>11</v>
      </c>
      <c r="D21" s="11"/>
      <c r="E21" s="11"/>
      <c r="F21" s="11"/>
      <c r="G21" s="11"/>
      <c r="H21" s="12"/>
      <c r="I21" s="11"/>
      <c r="J21" s="11"/>
      <c r="K21" s="12"/>
    </row>
    <row r="22" spans="1:11" x14ac:dyDescent="0.25">
      <c r="A22" s="5" t="s">
        <v>9</v>
      </c>
      <c r="B22">
        <f t="shared" si="0"/>
        <v>2024</v>
      </c>
      <c r="C22" t="s">
        <v>15</v>
      </c>
      <c r="D22">
        <v>4</v>
      </c>
      <c r="E22">
        <v>4</v>
      </c>
      <c r="F22">
        <v>4.72</v>
      </c>
      <c r="G22">
        <v>4.53</v>
      </c>
      <c r="H22" s="6">
        <v>4.53</v>
      </c>
      <c r="I22">
        <v>2</v>
      </c>
      <c r="J22">
        <v>0</v>
      </c>
      <c r="K22" s="6">
        <v>0</v>
      </c>
    </row>
    <row r="23" spans="1:11" x14ac:dyDescent="0.25">
      <c r="A23" s="5" t="s">
        <v>9</v>
      </c>
      <c r="B23">
        <f t="shared" si="0"/>
        <v>2024</v>
      </c>
      <c r="C23" t="s">
        <v>11</v>
      </c>
      <c r="D23" s="11"/>
      <c r="E23" s="11"/>
      <c r="F23" s="11"/>
      <c r="G23" s="11"/>
      <c r="H23" s="12"/>
      <c r="I23" s="11"/>
      <c r="J23" s="11"/>
      <c r="K23" s="12"/>
    </row>
    <row r="24" spans="1:11" x14ac:dyDescent="0.25">
      <c r="A24" s="5" t="s">
        <v>12</v>
      </c>
      <c r="B24">
        <f t="shared" si="0"/>
        <v>2024</v>
      </c>
      <c r="C24" t="s">
        <v>11</v>
      </c>
      <c r="D24" s="11"/>
      <c r="E24" s="11"/>
      <c r="F24" s="11"/>
      <c r="G24" s="11"/>
      <c r="H24" s="12"/>
      <c r="I24" s="11"/>
      <c r="J24" s="11"/>
      <c r="K24" s="12"/>
    </row>
    <row r="25" spans="1:11" ht="16.5" thickBot="1" x14ac:dyDescent="0.3">
      <c r="A25" s="8" t="s">
        <v>12</v>
      </c>
      <c r="B25" s="7">
        <f t="shared" si="0"/>
        <v>2024</v>
      </c>
      <c r="C25" s="7" t="s">
        <v>11</v>
      </c>
      <c r="D25" s="9"/>
      <c r="E25" s="9"/>
      <c r="F25" s="9"/>
      <c r="G25" s="9"/>
      <c r="H25" s="10"/>
      <c r="I25" s="9"/>
      <c r="J25" s="9"/>
      <c r="K25" s="10"/>
    </row>
    <row r="26" spans="1:11" x14ac:dyDescent="0.25">
      <c r="A26" s="2" t="s">
        <v>13</v>
      </c>
      <c r="B26" s="3">
        <f t="shared" si="0"/>
        <v>2024</v>
      </c>
      <c r="C26" s="3" t="s">
        <v>15</v>
      </c>
      <c r="D26" s="3">
        <v>6</v>
      </c>
      <c r="E26" s="3">
        <v>3</v>
      </c>
      <c r="F26" s="3">
        <v>4.1500000000000004</v>
      </c>
      <c r="G26" s="3">
        <v>4.5599999999999996</v>
      </c>
      <c r="H26" s="4">
        <v>4.5599999999999996</v>
      </c>
      <c r="I26" s="3">
        <v>2</v>
      </c>
      <c r="J26" s="3">
        <v>0</v>
      </c>
      <c r="K26" s="4">
        <v>0</v>
      </c>
    </row>
    <row r="27" spans="1:11" x14ac:dyDescent="0.25">
      <c r="A27" s="5" t="s">
        <v>13</v>
      </c>
      <c r="B27">
        <f t="shared" si="0"/>
        <v>2024</v>
      </c>
      <c r="C27" t="s">
        <v>16</v>
      </c>
      <c r="D27">
        <v>17</v>
      </c>
      <c r="E27">
        <v>8</v>
      </c>
      <c r="F27">
        <v>4.78</v>
      </c>
      <c r="G27">
        <v>4.5599999999999996</v>
      </c>
      <c r="H27" s="6">
        <v>4.5599999999999996</v>
      </c>
      <c r="I27">
        <v>5</v>
      </c>
      <c r="J27">
        <v>1</v>
      </c>
      <c r="K27" s="6">
        <v>0</v>
      </c>
    </row>
    <row r="28" spans="1:11" x14ac:dyDescent="0.25">
      <c r="A28" s="5" t="s">
        <v>8</v>
      </c>
      <c r="B28">
        <f t="shared" si="0"/>
        <v>2024</v>
      </c>
      <c r="C28" t="s">
        <v>11</v>
      </c>
      <c r="D28" s="11"/>
      <c r="E28" s="11"/>
      <c r="F28" s="11"/>
      <c r="G28" s="11"/>
      <c r="H28" s="12"/>
      <c r="I28" s="11"/>
      <c r="J28" s="11"/>
      <c r="K28" s="12"/>
    </row>
    <row r="29" spans="1:11" x14ac:dyDescent="0.25">
      <c r="A29" s="5" t="s">
        <v>8</v>
      </c>
      <c r="B29">
        <f t="shared" si="0"/>
        <v>2024</v>
      </c>
      <c r="C29" t="s">
        <v>11</v>
      </c>
      <c r="D29" s="11"/>
      <c r="E29" s="11"/>
      <c r="F29" s="11"/>
      <c r="G29" s="11"/>
      <c r="H29" s="12"/>
      <c r="I29" s="11"/>
      <c r="J29" s="11"/>
      <c r="K29" s="12"/>
    </row>
    <row r="30" spans="1:11" x14ac:dyDescent="0.25">
      <c r="A30" s="5" t="s">
        <v>9</v>
      </c>
      <c r="B30">
        <f t="shared" si="0"/>
        <v>2025</v>
      </c>
      <c r="C30" t="s">
        <v>16</v>
      </c>
      <c r="D30">
        <v>20</v>
      </c>
      <c r="E30">
        <v>16</v>
      </c>
      <c r="F30">
        <v>4.62</v>
      </c>
      <c r="G30">
        <v>4.55</v>
      </c>
      <c r="H30" s="6">
        <v>4.55</v>
      </c>
      <c r="I30">
        <v>5</v>
      </c>
      <c r="J30">
        <v>1</v>
      </c>
      <c r="K30" s="6">
        <v>0</v>
      </c>
    </row>
    <row r="31" spans="1:11" x14ac:dyDescent="0.25">
      <c r="A31" s="5" t="s">
        <v>9</v>
      </c>
      <c r="B31">
        <f t="shared" si="0"/>
        <v>2025</v>
      </c>
      <c r="C31" t="s">
        <v>11</v>
      </c>
      <c r="D31" s="11"/>
      <c r="E31" s="11"/>
      <c r="F31" s="11"/>
      <c r="G31" s="11"/>
      <c r="H31" s="12"/>
      <c r="I31" s="11"/>
      <c r="J31" s="11"/>
      <c r="K31" s="12"/>
    </row>
    <row r="32" spans="1:11" x14ac:dyDescent="0.25">
      <c r="A32" s="5" t="s">
        <v>12</v>
      </c>
      <c r="B32">
        <f t="shared" si="0"/>
        <v>2025</v>
      </c>
      <c r="C32" t="s">
        <v>11</v>
      </c>
      <c r="D32" s="11"/>
      <c r="E32" s="11"/>
      <c r="F32" s="11"/>
      <c r="G32" s="11"/>
      <c r="H32" s="12"/>
      <c r="I32" s="11"/>
      <c r="J32" s="11"/>
      <c r="K32" s="12"/>
    </row>
    <row r="33" spans="1:11" ht="16.5" thickBot="1" x14ac:dyDescent="0.3">
      <c r="A33" s="8" t="s">
        <v>12</v>
      </c>
      <c r="B33" s="7">
        <f t="shared" si="0"/>
        <v>2025</v>
      </c>
      <c r="C33" s="7" t="s">
        <v>11</v>
      </c>
      <c r="D33" s="9"/>
      <c r="E33" s="9"/>
      <c r="F33" s="9"/>
      <c r="G33" s="9"/>
      <c r="H33" s="10"/>
      <c r="I33" s="9"/>
      <c r="J33" s="9"/>
      <c r="K33" s="10"/>
    </row>
    <row r="34" spans="1:11" x14ac:dyDescent="0.25">
      <c r="A34" s="2" t="s">
        <v>13</v>
      </c>
      <c r="B34" s="3">
        <f t="shared" si="0"/>
        <v>2025</v>
      </c>
      <c r="C34" s="3" t="s">
        <v>17</v>
      </c>
      <c r="D34" s="3">
        <v>15</v>
      </c>
      <c r="E34" s="3">
        <v>8</v>
      </c>
      <c r="F34" s="3">
        <v>4.74</v>
      </c>
      <c r="G34" s="3">
        <v>4.67</v>
      </c>
      <c r="H34" s="4">
        <v>4.67</v>
      </c>
      <c r="I34" s="3">
        <v>1</v>
      </c>
      <c r="J34" s="3">
        <v>0</v>
      </c>
      <c r="K34" s="4">
        <v>0</v>
      </c>
    </row>
    <row r="35" spans="1:11" x14ac:dyDescent="0.25">
      <c r="A35" s="5" t="s">
        <v>13</v>
      </c>
      <c r="B35">
        <f t="shared" si="0"/>
        <v>2025</v>
      </c>
      <c r="C35" t="s">
        <v>16</v>
      </c>
      <c r="D35">
        <v>11</v>
      </c>
      <c r="E35">
        <v>8</v>
      </c>
      <c r="F35">
        <v>4.45</v>
      </c>
      <c r="G35">
        <v>4.67</v>
      </c>
      <c r="H35" s="6">
        <v>4.67</v>
      </c>
      <c r="I35">
        <v>5</v>
      </c>
      <c r="J35">
        <v>2</v>
      </c>
      <c r="K35" s="6">
        <v>0</v>
      </c>
    </row>
    <row r="36" spans="1:11" x14ac:dyDescent="0.25">
      <c r="A36" s="5" t="s">
        <v>8</v>
      </c>
      <c r="B36">
        <f t="shared" si="0"/>
        <v>2025</v>
      </c>
      <c r="C36" t="s">
        <v>18</v>
      </c>
      <c r="D36">
        <v>10</v>
      </c>
      <c r="E36">
        <v>5</v>
      </c>
      <c r="F36">
        <v>4.8</v>
      </c>
      <c r="G36">
        <v>4.67</v>
      </c>
      <c r="H36" s="6">
        <v>4.68</v>
      </c>
      <c r="I36">
        <v>5</v>
      </c>
      <c r="J36">
        <v>0</v>
      </c>
      <c r="K36" s="6">
        <v>0</v>
      </c>
    </row>
    <row r="37" spans="1:11" x14ac:dyDescent="0.25">
      <c r="A37" s="5" t="s">
        <v>8</v>
      </c>
      <c r="B37">
        <f t="shared" si="0"/>
        <v>2025</v>
      </c>
      <c r="C37" t="s">
        <v>17</v>
      </c>
      <c r="D37">
        <v>15</v>
      </c>
      <c r="E37">
        <v>8</v>
      </c>
      <c r="F37">
        <v>4.75</v>
      </c>
      <c r="G37">
        <v>4.67</v>
      </c>
      <c r="H37" s="6">
        <v>4.66</v>
      </c>
      <c r="I37">
        <v>1</v>
      </c>
      <c r="J37">
        <v>0</v>
      </c>
      <c r="K37" s="6">
        <v>0</v>
      </c>
    </row>
    <row r="38" spans="1:11" x14ac:dyDescent="0.25">
      <c r="A38" s="5" t="s">
        <v>9</v>
      </c>
      <c r="B38">
        <f t="shared" si="0"/>
        <v>2026</v>
      </c>
      <c r="C38" t="s">
        <v>15</v>
      </c>
      <c r="D38">
        <v>9</v>
      </c>
      <c r="E38">
        <v>6</v>
      </c>
      <c r="F38">
        <v>5</v>
      </c>
      <c r="G38">
        <v>4.6500000000000004</v>
      </c>
      <c r="H38" s="6">
        <v>4.62</v>
      </c>
      <c r="I38" s="18">
        <v>3</v>
      </c>
      <c r="J38" s="18">
        <v>0</v>
      </c>
      <c r="K38" s="6">
        <v>0</v>
      </c>
    </row>
    <row r="39" spans="1:11" x14ac:dyDescent="0.25">
      <c r="A39" s="5" t="s">
        <v>9</v>
      </c>
      <c r="B39">
        <f t="shared" si="0"/>
        <v>2026</v>
      </c>
      <c r="C39" t="s">
        <v>16</v>
      </c>
      <c r="D39">
        <v>25</v>
      </c>
      <c r="E39">
        <v>17</v>
      </c>
      <c r="F39">
        <v>4.71</v>
      </c>
      <c r="G39">
        <v>4.6500000000000004</v>
      </c>
      <c r="H39" s="6">
        <v>4.62</v>
      </c>
      <c r="I39" s="18">
        <v>1</v>
      </c>
      <c r="J39" s="18">
        <v>0</v>
      </c>
      <c r="K39" s="6">
        <v>0</v>
      </c>
    </row>
    <row r="40" spans="1:11" x14ac:dyDescent="0.25">
      <c r="A40" s="5" t="s">
        <v>12</v>
      </c>
      <c r="B40">
        <f t="shared" si="0"/>
        <v>2026</v>
      </c>
      <c r="C40" t="s">
        <v>11</v>
      </c>
      <c r="D40" s="11"/>
      <c r="E40" s="11"/>
      <c r="F40" s="11"/>
      <c r="G40" s="11"/>
      <c r="H40" s="12"/>
      <c r="I40" s="11"/>
      <c r="J40" s="11"/>
      <c r="K40" s="12"/>
    </row>
    <row r="41" spans="1:11" ht="16.5" thickBot="1" x14ac:dyDescent="0.3">
      <c r="A41" s="8" t="s">
        <v>12</v>
      </c>
      <c r="B41" s="7">
        <f t="shared" si="0"/>
        <v>2026</v>
      </c>
      <c r="C41" s="7" t="s">
        <v>11</v>
      </c>
      <c r="D41" s="9"/>
      <c r="E41" s="9"/>
      <c r="F41" s="9"/>
      <c r="G41" s="9"/>
      <c r="H41" s="10"/>
      <c r="I41" s="9"/>
      <c r="J41" s="9"/>
      <c r="K41" s="10"/>
    </row>
    <row r="42" spans="1:11" x14ac:dyDescent="0.25">
      <c r="D42">
        <f>SUM(D2:D41)</f>
        <v>421</v>
      </c>
      <c r="E42">
        <f>SUM(E2:E41)</f>
        <v>268</v>
      </c>
      <c r="F42" s="17">
        <f>SUMPRODUCT(E2:E41,F2:F41)/E42</f>
        <v>4.6698134328358201</v>
      </c>
      <c r="G42" s="13" t="s">
        <v>24</v>
      </c>
      <c r="H42" s="13" t="s">
        <v>24</v>
      </c>
      <c r="I42">
        <f>SUM(I2:I41)</f>
        <v>86</v>
      </c>
      <c r="J42">
        <f>SUM(J2:J41)</f>
        <v>6</v>
      </c>
      <c r="K42">
        <f>SUM(K2:K41)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Darryl</dc:creator>
  <cp:lastModifiedBy>Chamberlain, Darryl</cp:lastModifiedBy>
  <dcterms:created xsi:type="dcterms:W3CDTF">2022-08-30T20:47:04Z</dcterms:created>
  <dcterms:modified xsi:type="dcterms:W3CDTF">2026-04-01T15:04:42Z</dcterms:modified>
</cp:coreProperties>
</file>